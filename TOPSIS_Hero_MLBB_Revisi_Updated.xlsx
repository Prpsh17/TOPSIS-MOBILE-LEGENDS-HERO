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rak dan Hasil" sheetId="1" state="visible" r:id="rId3"/>
    <sheet name="Normalisasi Terbobot" sheetId="2" state="visible" r:id="rId4"/>
    <sheet name="Normalisasi" sheetId="3" state="visible" r:id="rId5"/>
    <sheet name="Matriks Keputusan" sheetId="4" state="visible" r:id="rId6"/>
    <sheet name="Bobot &amp; Kriteria" sheetId="5" state="visible" r:id="rId7"/>
    <sheet name="Rekap Rank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<sst xmlns="http://schemas.openxmlformats.org/spreadsheetml/2006/main" count="147" uniqueCount="94">
  <si>
    <t xml:space="preserve">D. JARAK DAN NILAI PREFERENSI (SKOR TOPSIS)</t>
  </si>
  <si>
    <t xml:space="preserve">No</t>
  </si>
  <si>
    <t xml:space="preserve">Tipe Hero</t>
  </si>
  <si>
    <t xml:space="preserve">D⁺ (Jarak ke A⁺)</t>
  </si>
  <si>
    <t xml:space="preserve">D⁻ (Jarak ke A⁻)</t>
  </si>
  <si>
    <t xml:space="preserve">Skor Preferensi (Vi)</t>
  </si>
  <si>
    <t xml:space="preserve">Ranking</t>
  </si>
  <si>
    <t xml:space="preserve">Keterangan</t>
  </si>
  <si>
    <t xml:space="preserve">Tank/Roamer</t>
  </si>
  <si>
    <t xml:space="preserve">BAIK ✓</t>
  </si>
  <si>
    <t xml:space="preserve">Assassin/Jungler</t>
  </si>
  <si>
    <t xml:space="preserve">Marksman</t>
  </si>
  <si>
    <t xml:space="preserve">Mage</t>
  </si>
  <si>
    <t xml:space="preserve">Fighter</t>
  </si>
  <si>
    <t xml:space="preserve">TERBAIK ★</t>
  </si>
  <si>
    <t xml:space="preserve">C. MATRIKS NORMALISASI TERBOBOT (vij = wj × rij)</t>
  </si>
  <si>
    <t xml:space="preserve">v1 (C1)</t>
  </si>
  <si>
    <t xml:space="preserve">v2 (C2)</t>
  </si>
  <si>
    <t xml:space="preserve">v3 (C3)</t>
  </si>
  <si>
    <t xml:space="preserve">v4 (C4)</t>
  </si>
  <si>
    <t xml:space="preserve">v5 (C5)</t>
  </si>
  <si>
    <t xml:space="preserve">A⁺ (Ideal Positif)</t>
  </si>
  <si>
    <t xml:space="preserve">A⁻ (Ideal Negatif)</t>
  </si>
  <si>
    <t xml:space="preserve">B. MATRIKS NORMALISASI (rij = Xij / √(ΣXij²))</t>
  </si>
  <si>
    <t xml:space="preserve">r1 (C1)</t>
  </si>
  <si>
    <t xml:space="preserve">r2 (C2)</t>
  </si>
  <si>
    <t xml:space="preserve">r3 (C3)</t>
  </si>
  <si>
    <t xml:space="preserve">r4 (C4)</t>
  </si>
  <si>
    <t xml:space="preserve">r5 (C5)</t>
  </si>
  <si>
    <t xml:space="preserve">A. MATRIKS KEPUTUSAN (DATA NILAI RATA-RATA RESPONDEN PER TIPE HERO)</t>
  </si>
  <si>
    <t xml:space="preserve">Nilai = Rata-rata penilaian 30 responden (skala 1-5) dari Data Responden Form SPK</t>
  </si>
  <si>
    <t xml:space="preserve">Contoh Hero</t>
  </si>
  <si>
    <t xml:space="preserve">Role</t>
  </si>
  <si>
    <t xml:space="preserve">C1 CC</t>
  </si>
  <si>
    <t xml:space="preserve">C2 AoE</t>
  </si>
  <si>
    <t xml:space="preserve">C3 DMG</t>
  </si>
  <si>
    <t xml:space="preserve">C4 DUR</t>
  </si>
  <si>
    <t xml:space="preserve">C5 LG</t>
  </si>
  <si>
    <t xml:space="preserve">Tigreal, Khufra, Gatot Kaca</t>
  </si>
  <si>
    <t xml:space="preserve">Roaming / Support</t>
  </si>
  <si>
    <t xml:space="preserve">Yi-Sun-Shin, Lancelot, Ling</t>
  </si>
  <si>
    <t xml:space="preserve">Jungler</t>
  </si>
  <si>
    <t xml:space="preserve">Granger, Bruno, Brody</t>
  </si>
  <si>
    <t xml:space="preserve">Gold Lane</t>
  </si>
  <si>
    <t xml:space="preserve">Pharsa, Kadita, Odette</t>
  </si>
  <si>
    <t xml:space="preserve">Mid Lane</t>
  </si>
  <si>
    <t xml:space="preserve">Chou, Yu Zhong, Lapu-Lapu</t>
  </si>
  <si>
    <t xml:space="preserve">EXP Lane</t>
  </si>
  <si>
    <t xml:space="preserve">√(ΣXij²)</t>
  </si>
  <si>
    <t xml:space="preserve">Normalisasi pembagi</t>
  </si>
  <si>
    <t xml:space="preserve">Bobot AHP (wj)</t>
  </si>
  <si>
    <t xml:space="preserve">Dari perhitungan AHP (CR&lt;0.1)</t>
  </si>
  <si>
    <t xml:space="preserve">SISTEM PENDUKUNG KEPUTUSAN – PEMILIHAN HERO MOBILE LEGENDS EPIC TIER</t>
  </si>
  <si>
    <t xml:space="preserve">Metode AHP-TOPSIS  |  Bobot Kriteria dari AHP (Jurnal: JTH Vol.1 No.4 2024 pp.217-232)</t>
  </si>
  <si>
    <t xml:space="preserve">TABEL BOBOT KRITERIA (DARI METODE AHP – SESUAI JURNAL)</t>
  </si>
  <si>
    <t xml:space="preserve">Kode</t>
  </si>
  <si>
    <t xml:space="preserve">Nama Kriteria</t>
  </si>
  <si>
    <t xml:space="preserve">Bobot</t>
  </si>
  <si>
    <t xml:space="preserve">Tipe</t>
  </si>
  <si>
    <t xml:space="preserve">C1</t>
  </si>
  <si>
    <t xml:space="preserve">Crowd Control (CC)</t>
  </si>
  <si>
    <t xml:space="preserve">Benefit</t>
  </si>
  <si>
    <t xml:space="preserve">Kemampuan menghentikan gerak musuh (Stun, Slow, Knockback) – Bobot tertinggi</t>
  </si>
  <si>
    <t xml:space="preserve">C2</t>
  </si>
  <si>
    <t xml:space="preserve">Serangan Area (AoE)</t>
  </si>
  <si>
    <t xml:space="preserve">Kemampuan memberi damage/efek pada area luas</t>
  </si>
  <si>
    <t xml:space="preserve">C3</t>
  </si>
  <si>
    <t xml:space="preserve">Damage Besar &amp; Skill Escaping</t>
  </si>
  <si>
    <t xml:space="preserve">Kemampuan burst damage dan melarikan diri dari bahaya</t>
  </si>
  <si>
    <t xml:space="preserve">C4</t>
  </si>
  <si>
    <t xml:space="preserve">Daya Tahan Tinggi (Durability)</t>
  </si>
  <si>
    <t xml:space="preserve">Ketebalan HP dan pertahanan hero dalam pertempuran</t>
  </si>
  <si>
    <t xml:space="preserve">C5</t>
  </si>
  <si>
    <t xml:space="preserve">Hero Late Game</t>
  </si>
  <si>
    <t xml:space="preserve">Kekuatan maksimal hero di fase akhir permainan</t>
  </si>
  <si>
    <t xml:space="preserve">TOTAL</t>
  </si>
  <si>
    <t xml:space="preserve">CR = 0.0996 &lt; 0.1 → Konsisten (sesuai jurnal)</t>
  </si>
  <si>
    <t xml:space="preserve">Sumber: Abidin, Fairuzabadi &amp; Wibawa (2024). JTH Vol.1 No.4, pp.217-232. DOI: Tabel 3 &amp; 4.</t>
  </si>
  <si>
    <t xml:space="preserve">REKAPITULASI RANKING – PEMILIHAN HERO MOBILE LEGENDS EPIC TIER</t>
  </si>
  <si>
    <t xml:space="preserve">Metode AHP-TOPSIS  |  Bobot AHP: C1=41%, C2=25%, C3=17%, C4=11%, C5=7%  |  30 Responden Epic Tier</t>
  </si>
  <si>
    <t xml:space="preserve">Skor TOPSIS</t>
  </si>
  <si>
    <t xml:space="preserve">Status</t>
  </si>
  <si>
    <t xml:space="preserve">🥇 TERBAIK (Direkomendasikan)</t>
  </si>
  <si>
    <t xml:space="preserve">🥈 BAIK</t>
  </si>
  <si>
    <t xml:space="preserve">🥉 CUKUP BAIK</t>
  </si>
  <si>
    <t xml:space="preserve">-</t>
  </si>
  <si>
    <t xml:space="preserve">RINGKASAN STATISTIK PER KRITERIA</t>
  </si>
  <si>
    <t xml:space="preserve">C1 – Crowd Control (CC)</t>
  </si>
  <si>
    <t xml:space="preserve">Tipe Hero Terbaik (Nilai Tertinggi)</t>
  </si>
  <si>
    <t xml:space="preserve">C2 – Serangan Area (AoE)</t>
  </si>
  <si>
    <t xml:space="preserve">C3 – Damage Besar &amp; Skill Escaping</t>
  </si>
  <si>
    <t xml:space="preserve">C4 – Daya Tahan Tinggi (Durability)</t>
  </si>
  <si>
    <t xml:space="preserve">C5 – Hero Late Game</t>
  </si>
  <si>
    <t xml:space="preserve">CATATAN: Bobot AHP diambil dari hasil survei &amp; perhitungan AHP (Tabel 3 &amp; 4 jurnal). CR = 0.0996 &lt; 0.1 (konsisten). Sumber: Abidin, Fairuzabadi &amp; Wibawa (2024). JTH Vol.1 No.4, pp.217-232.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</si>
</sst>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00"/>
    <numFmt numFmtId="166" formatCode="0.000000"/>
    <numFmt numFmtId="167" formatCode="0.00000"/>
    <numFmt numFmtId="168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7F3F00"/>
      <name val="Arial"/>
      <family val="0"/>
      <charset val="1"/>
    </font>
    <font>
      <sz val="10"/>
      <color rgb="FF7F3F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6400"/>
      <name val="Arial"/>
      <family val="0"/>
      <charset val="1"/>
    </font>
    <font>
      <i val="true"/>
      <sz val="9"/>
      <color rgb="FF37562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FFE6E6"/>
        <bgColor rgb="FFFFF2CC"/>
      </patternFill>
    </fill>
    <fill>
      <patternFill patternType="solid">
        <fgColor rgb="FFBDD7EE"/>
        <bgColor rgb="FFC6EFCE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F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E6E6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6100"/>
      <rgbColor rgb="FF333300"/>
      <rgbColor rgb="FF7F3F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6.2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21.75" hidden="false" customHeight="true" outlineLevel="0" collapsed="false">
      <c r="A3" s="3" t="n">
        <v>1</v>
      </c>
      <c r="B3" s="4" t="s">
        <v>8</v>
      </c>
      <c r="C3" s="5" t="n">
        <v>0.04078783</v>
      </c>
      <c r="D3" s="5" t="n">
        <v>0.09416791</v>
      </c>
      <c r="E3" s="6" t="n">
        <v>0.697769</v>
      </c>
      <c r="F3" s="3" t="n">
        <v>2</v>
      </c>
      <c r="G3" s="4" t="s">
        <v>9</v>
      </c>
    </row>
    <row r="4" customFormat="false" ht="21.75" hidden="false" customHeight="true" outlineLevel="0" collapsed="false">
      <c r="A4" s="7" t="n">
        <v>2</v>
      </c>
      <c r="B4" s="8" t="s">
        <v>10</v>
      </c>
      <c r="C4" s="9" t="n">
        <v>0.10762282</v>
      </c>
      <c r="D4" s="9" t="n">
        <v>0.03431328</v>
      </c>
      <c r="E4" s="10" t="n">
        <v>0.241752</v>
      </c>
      <c r="F4" s="11" t="n">
        <v>4</v>
      </c>
      <c r="G4" s="8"/>
    </row>
    <row r="5" customFormat="false" ht="21.75" hidden="false" customHeight="true" outlineLevel="0" collapsed="false">
      <c r="A5" s="12" t="n">
        <v>3</v>
      </c>
      <c r="B5" s="13" t="s">
        <v>11</v>
      </c>
      <c r="C5" s="14" t="n">
        <v>0.10707061</v>
      </c>
      <c r="D5" s="14" t="n">
        <v>0.0255645</v>
      </c>
      <c r="E5" s="15" t="n">
        <v>0.192743</v>
      </c>
      <c r="F5" s="16" t="n">
        <v>5</v>
      </c>
      <c r="G5" s="13"/>
    </row>
    <row r="6" customFormat="false" ht="21.75" hidden="false" customHeight="true" outlineLevel="0" collapsed="false">
      <c r="A6" s="7" t="n">
        <v>4</v>
      </c>
      <c r="B6" s="8" t="s">
        <v>12</v>
      </c>
      <c r="C6" s="9" t="n">
        <v>0.05882135</v>
      </c>
      <c r="D6" s="9" t="n">
        <v>0.06252014</v>
      </c>
      <c r="E6" s="10" t="n">
        <v>0.515241</v>
      </c>
      <c r="F6" s="11" t="n">
        <v>3</v>
      </c>
      <c r="G6" s="8"/>
    </row>
    <row r="7" customFormat="false" ht="21.75" hidden="false" customHeight="true" outlineLevel="0" collapsed="false">
      <c r="A7" s="17" t="n">
        <v>5</v>
      </c>
      <c r="B7" s="18" t="s">
        <v>13</v>
      </c>
      <c r="C7" s="19" t="n">
        <v>0.01883538</v>
      </c>
      <c r="D7" s="19" t="n">
        <v>0.1090228</v>
      </c>
      <c r="E7" s="20" t="n">
        <v>0.852685</v>
      </c>
      <c r="F7" s="17" t="n">
        <v>1</v>
      </c>
      <c r="G7" s="18" t="s">
        <v>14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7" min="3" style="0" width="16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</row>
    <row r="2" customFormat="false" ht="14.25" hidden="false" customHeight="false" outlineLevel="0" collapsed="false">
      <c r="A2" s="2" t="s">
        <v>1</v>
      </c>
      <c r="B2" s="2" t="s">
        <v>2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</row>
    <row r="3" customFormat="false" ht="19.5" hidden="false" customHeight="true" outlineLevel="0" collapsed="false">
      <c r="A3" s="16" t="n">
        <v>1</v>
      </c>
      <c r="B3" s="13" t="s">
        <v>8</v>
      </c>
      <c r="C3" s="14" t="n">
        <v>0.21576947</v>
      </c>
      <c r="D3" s="14" t="n">
        <v>0.10260712</v>
      </c>
      <c r="E3" s="14" t="n">
        <v>0.05758664</v>
      </c>
      <c r="F3" s="14" t="n">
        <v>0.06805173</v>
      </c>
      <c r="G3" s="14" t="n">
        <v>0.02567038</v>
      </c>
    </row>
    <row r="4" customFormat="false" ht="19.5" hidden="false" customHeight="true" outlineLevel="0" collapsed="false">
      <c r="A4" s="11" t="n">
        <v>2</v>
      </c>
      <c r="B4" s="8" t="s">
        <v>10</v>
      </c>
      <c r="C4" s="9" t="n">
        <v>0.12829536</v>
      </c>
      <c r="D4" s="9" t="n">
        <v>0.11264476</v>
      </c>
      <c r="E4" s="9" t="n">
        <v>0.08871444</v>
      </c>
      <c r="F4" s="9" t="n">
        <v>0.03824404</v>
      </c>
      <c r="G4" s="9" t="n">
        <v>0.03473053</v>
      </c>
    </row>
    <row r="5" customFormat="false" ht="19.5" hidden="false" customHeight="true" outlineLevel="0" collapsed="false">
      <c r="A5" s="16" t="n">
        <v>3</v>
      </c>
      <c r="B5" s="13" t="s">
        <v>11</v>
      </c>
      <c r="C5" s="14" t="n">
        <v>0.13218329</v>
      </c>
      <c r="D5" s="14" t="n">
        <v>0.10260712</v>
      </c>
      <c r="E5" s="14" t="n">
        <v>0.08093255</v>
      </c>
      <c r="F5" s="14" t="n">
        <v>0.03318233</v>
      </c>
      <c r="G5" s="14" t="n">
        <v>0.03533457</v>
      </c>
    </row>
    <row r="6" customFormat="false" ht="19.5" hidden="false" customHeight="true" outlineLevel="0" collapsed="false">
      <c r="A6" s="11" t="n">
        <v>4</v>
      </c>
      <c r="B6" s="8" t="s">
        <v>12</v>
      </c>
      <c r="C6" s="9" t="n">
        <v>0.18466776</v>
      </c>
      <c r="D6" s="9" t="n">
        <v>0.12156689</v>
      </c>
      <c r="E6" s="9" t="n">
        <v>0.07548501</v>
      </c>
      <c r="F6" s="9" t="n">
        <v>0.03486957</v>
      </c>
      <c r="G6" s="9" t="n">
        <v>0.03261653</v>
      </c>
    </row>
    <row r="7" customFormat="false" ht="19.5" hidden="false" customHeight="true" outlineLevel="0" collapsed="false">
      <c r="A7" s="16" t="n">
        <v>5</v>
      </c>
      <c r="B7" s="13" t="s">
        <v>13</v>
      </c>
      <c r="C7" s="14" t="n">
        <v>0.23132062</v>
      </c>
      <c r="D7" s="14" t="n">
        <v>0.11822101</v>
      </c>
      <c r="E7" s="14" t="n">
        <v>0.07392877</v>
      </c>
      <c r="F7" s="14" t="n">
        <v>0.06074044</v>
      </c>
      <c r="G7" s="14" t="n">
        <v>0.02687846</v>
      </c>
    </row>
    <row r="8" customFormat="false" ht="14.25" hidden="false" customHeight="false" outlineLevel="0" collapsed="false">
      <c r="A8" s="21"/>
      <c r="B8" s="22" t="s">
        <v>21</v>
      </c>
      <c r="C8" s="23" t="n">
        <v>0.23132062</v>
      </c>
      <c r="D8" s="23" t="n">
        <v>0.12156689</v>
      </c>
      <c r="E8" s="23" t="n">
        <v>0.08871444</v>
      </c>
      <c r="F8" s="23" t="n">
        <v>0.06805173</v>
      </c>
      <c r="G8" s="23" t="n">
        <v>0.03533457</v>
      </c>
    </row>
    <row r="9" customFormat="false" ht="14.25" hidden="false" customHeight="false" outlineLevel="0" collapsed="false">
      <c r="A9" s="24"/>
      <c r="B9" s="25" t="s">
        <v>22</v>
      </c>
      <c r="C9" s="26" t="n">
        <v>0.12829536</v>
      </c>
      <c r="D9" s="26" t="n">
        <v>0.10260712</v>
      </c>
      <c r="E9" s="26" t="n">
        <v>0.05758664</v>
      </c>
      <c r="F9" s="26" t="n">
        <v>0.03318233</v>
      </c>
      <c r="G9" s="26" t="n">
        <v>0.02567038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7" min="3" style="0" width="16"/>
  </cols>
  <sheetData>
    <row r="1" customFormat="false" ht="27.7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</row>
    <row r="2" customFormat="false" ht="14.25" hidden="false" customHeight="false" outlineLevel="0" collapsed="false">
      <c r="A2" s="2" t="s">
        <v>1</v>
      </c>
      <c r="B2" s="2" t="s">
        <v>2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</row>
    <row r="3" customFormat="false" ht="19.5" hidden="false" customHeight="true" outlineLevel="0" collapsed="false">
      <c r="A3" s="16" t="n">
        <v>1</v>
      </c>
      <c r="B3" s="13" t="s">
        <v>8</v>
      </c>
      <c r="C3" s="14" t="n">
        <v>0.526267</v>
      </c>
      <c r="D3" s="14" t="n">
        <v>0.4104285</v>
      </c>
      <c r="E3" s="14" t="n">
        <v>0.3387449</v>
      </c>
      <c r="F3" s="14" t="n">
        <v>0.6186521</v>
      </c>
      <c r="G3" s="14" t="n">
        <v>0.3667198</v>
      </c>
    </row>
    <row r="4" customFormat="false" ht="19.5" hidden="false" customHeight="true" outlineLevel="0" collapsed="false">
      <c r="A4" s="11" t="n">
        <v>2</v>
      </c>
      <c r="B4" s="8" t="s">
        <v>10</v>
      </c>
      <c r="C4" s="9" t="n">
        <v>0.3129155</v>
      </c>
      <c r="D4" s="9" t="n">
        <v>0.4505791</v>
      </c>
      <c r="E4" s="9" t="n">
        <v>0.5218496</v>
      </c>
      <c r="F4" s="9" t="n">
        <v>0.3476731</v>
      </c>
      <c r="G4" s="9" t="n">
        <v>0.4961504</v>
      </c>
    </row>
    <row r="5" customFormat="false" ht="19.5" hidden="false" customHeight="true" outlineLevel="0" collapsed="false">
      <c r="A5" s="16" t="n">
        <v>3</v>
      </c>
      <c r="B5" s="13" t="s">
        <v>11</v>
      </c>
      <c r="C5" s="14" t="n">
        <v>0.3223983</v>
      </c>
      <c r="D5" s="14" t="n">
        <v>0.4104285</v>
      </c>
      <c r="E5" s="14" t="n">
        <v>0.4760738</v>
      </c>
      <c r="F5" s="14" t="n">
        <v>0.3016576</v>
      </c>
      <c r="G5" s="14" t="n">
        <v>0.5047796</v>
      </c>
    </row>
    <row r="6" customFormat="false" ht="19.5" hidden="false" customHeight="true" outlineLevel="0" collapsed="false">
      <c r="A6" s="11" t="n">
        <v>4</v>
      </c>
      <c r="B6" s="8" t="s">
        <v>12</v>
      </c>
      <c r="C6" s="9" t="n">
        <v>0.4504092</v>
      </c>
      <c r="D6" s="9" t="n">
        <v>0.4862676</v>
      </c>
      <c r="E6" s="9" t="n">
        <v>0.4440295</v>
      </c>
      <c r="F6" s="9" t="n">
        <v>0.3169961</v>
      </c>
      <c r="G6" s="9" t="n">
        <v>0.4659504</v>
      </c>
    </row>
    <row r="7" customFormat="false" ht="19.5" hidden="false" customHeight="true" outlineLevel="0" collapsed="false">
      <c r="A7" s="16" t="n">
        <v>5</v>
      </c>
      <c r="B7" s="13" t="s">
        <v>13</v>
      </c>
      <c r="C7" s="14" t="n">
        <v>0.5641966</v>
      </c>
      <c r="D7" s="14" t="n">
        <v>0.472884</v>
      </c>
      <c r="E7" s="14" t="n">
        <v>0.4348751</v>
      </c>
      <c r="F7" s="14" t="n">
        <v>0.5521858</v>
      </c>
      <c r="G7" s="14" t="n">
        <v>0.3839781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9" min="5" style="0" width="14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7" t="s">
        <v>30</v>
      </c>
      <c r="B2" s="27"/>
      <c r="C2" s="27"/>
      <c r="D2" s="27"/>
      <c r="E2" s="27"/>
      <c r="F2" s="27"/>
      <c r="G2" s="27"/>
      <c r="H2" s="27"/>
      <c r="I2" s="27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</row>
    <row r="4" customFormat="false" ht="19.5" hidden="false" customHeight="true" outlineLevel="0" collapsed="false">
      <c r="A4" s="16" t="n">
        <v>1</v>
      </c>
      <c r="B4" s="28" t="s">
        <v>8</v>
      </c>
      <c r="C4" s="13" t="s">
        <v>38</v>
      </c>
      <c r="D4" s="13" t="s">
        <v>39</v>
      </c>
      <c r="E4" s="29" t="n">
        <v>3.7</v>
      </c>
      <c r="F4" s="29" t="n">
        <v>3.06667</v>
      </c>
      <c r="G4" s="29" t="n">
        <v>2.46667</v>
      </c>
      <c r="H4" s="29" t="n">
        <v>4.03333</v>
      </c>
      <c r="I4" s="29" t="n">
        <v>2.83333</v>
      </c>
    </row>
    <row r="5" customFormat="false" ht="19.5" hidden="false" customHeight="true" outlineLevel="0" collapsed="false">
      <c r="A5" s="11" t="n">
        <v>2</v>
      </c>
      <c r="B5" s="30" t="s">
        <v>10</v>
      </c>
      <c r="C5" s="8" t="s">
        <v>40</v>
      </c>
      <c r="D5" s="8" t="s">
        <v>41</v>
      </c>
      <c r="E5" s="31" t="n">
        <v>2.2</v>
      </c>
      <c r="F5" s="31" t="n">
        <v>3.36667</v>
      </c>
      <c r="G5" s="31" t="n">
        <v>3.8</v>
      </c>
      <c r="H5" s="31" t="n">
        <v>2.26667</v>
      </c>
      <c r="I5" s="31" t="n">
        <v>3.83333</v>
      </c>
    </row>
    <row r="6" customFormat="false" ht="19.5" hidden="false" customHeight="true" outlineLevel="0" collapsed="false">
      <c r="A6" s="16" t="n">
        <v>3</v>
      </c>
      <c r="B6" s="28" t="s">
        <v>11</v>
      </c>
      <c r="C6" s="13" t="s">
        <v>42</v>
      </c>
      <c r="D6" s="13" t="s">
        <v>43</v>
      </c>
      <c r="E6" s="29" t="n">
        <v>2.26667</v>
      </c>
      <c r="F6" s="29" t="n">
        <v>3.06667</v>
      </c>
      <c r="G6" s="29" t="n">
        <v>3.46667</v>
      </c>
      <c r="H6" s="29" t="n">
        <v>1.96667</v>
      </c>
      <c r="I6" s="29" t="n">
        <v>3.9</v>
      </c>
    </row>
    <row r="7" customFormat="false" ht="19.5" hidden="false" customHeight="true" outlineLevel="0" collapsed="false">
      <c r="A7" s="11" t="n">
        <v>4</v>
      </c>
      <c r="B7" s="30" t="s">
        <v>12</v>
      </c>
      <c r="C7" s="8" t="s">
        <v>44</v>
      </c>
      <c r="D7" s="8" t="s">
        <v>45</v>
      </c>
      <c r="E7" s="31" t="n">
        <v>3.16667</v>
      </c>
      <c r="F7" s="31" t="n">
        <v>3.63333</v>
      </c>
      <c r="G7" s="31" t="n">
        <v>3.23333</v>
      </c>
      <c r="H7" s="31" t="n">
        <v>2.06667</v>
      </c>
      <c r="I7" s="31" t="n">
        <v>3.6</v>
      </c>
    </row>
    <row r="8" customFormat="false" ht="19.5" hidden="false" customHeight="true" outlineLevel="0" collapsed="false">
      <c r="A8" s="16" t="n">
        <v>5</v>
      </c>
      <c r="B8" s="28" t="s">
        <v>13</v>
      </c>
      <c r="C8" s="13" t="s">
        <v>46</v>
      </c>
      <c r="D8" s="13" t="s">
        <v>47</v>
      </c>
      <c r="E8" s="29" t="n">
        <v>3.96667</v>
      </c>
      <c r="F8" s="29" t="n">
        <v>3.53333</v>
      </c>
      <c r="G8" s="29" t="n">
        <v>3.16667</v>
      </c>
      <c r="H8" s="29" t="n">
        <v>3.6</v>
      </c>
      <c r="I8" s="29" t="n">
        <v>2.96667</v>
      </c>
    </row>
    <row r="9" customFormat="false" ht="14.25" hidden="false" customHeight="false" outlineLevel="0" collapsed="false">
      <c r="A9" s="32"/>
      <c r="B9" s="33" t="s">
        <v>48</v>
      </c>
      <c r="C9" s="32" t="s">
        <v>49</v>
      </c>
      <c r="D9" s="32"/>
      <c r="E9" s="34" t="n">
        <v>7.030652</v>
      </c>
      <c r="F9" s="34" t="n">
        <v>7.471874</v>
      </c>
      <c r="G9" s="34" t="n">
        <v>7.281791</v>
      </c>
      <c r="H9" s="34" t="n">
        <v>6.519544</v>
      </c>
      <c r="I9" s="34" t="n">
        <v>7.726144</v>
      </c>
    </row>
    <row r="10" customFormat="false" ht="14.25" hidden="false" customHeight="false" outlineLevel="0" collapsed="false">
      <c r="A10" s="35"/>
      <c r="B10" s="36" t="s">
        <v>50</v>
      </c>
      <c r="C10" s="37" t="s">
        <v>51</v>
      </c>
      <c r="D10" s="35"/>
      <c r="E10" s="38" t="n">
        <v>0.41</v>
      </c>
      <c r="F10" s="38" t="n">
        <v>0.25</v>
      </c>
      <c r="G10" s="38" t="n">
        <v>0.17</v>
      </c>
      <c r="H10" s="38" t="n">
        <v>0.11</v>
      </c>
      <c r="I10" s="38" t="n">
        <v>0.07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4" min="3" style="0" width="12"/>
    <col collapsed="false" customWidth="true" hidden="false" outlineLevel="0" max="5" min="5" style="0" width="36"/>
  </cols>
  <sheetData>
    <row r="1" customFormat="false" ht="30" hidden="false" customHeight="true" outlineLevel="0" collapsed="false">
      <c r="A1" s="39" t="s">
        <v>52</v>
      </c>
      <c r="B1" s="39"/>
      <c r="C1" s="39"/>
      <c r="D1" s="39"/>
      <c r="E1" s="39"/>
    </row>
    <row r="2" customFormat="false" ht="21.75" hidden="false" customHeight="true" outlineLevel="0" collapsed="false">
      <c r="A2" s="40" t="s">
        <v>53</v>
      </c>
      <c r="B2" s="40"/>
      <c r="C2" s="40"/>
      <c r="D2" s="40"/>
      <c r="E2" s="40"/>
    </row>
    <row r="4" customFormat="false" ht="24" hidden="false" customHeight="true" outlineLevel="0" collapsed="false">
      <c r="A4" s="41" t="s">
        <v>54</v>
      </c>
      <c r="B4" s="41"/>
      <c r="C4" s="41"/>
      <c r="D4" s="41"/>
      <c r="E4" s="41"/>
    </row>
    <row r="5" customFormat="false" ht="21.75" hidden="false" customHeight="true" outlineLevel="0" collapsed="false">
      <c r="A5" s="2" t="s">
        <v>55</v>
      </c>
      <c r="B5" s="2" t="s">
        <v>56</v>
      </c>
      <c r="C5" s="2" t="s">
        <v>57</v>
      </c>
      <c r="D5" s="2" t="s">
        <v>58</v>
      </c>
      <c r="E5" s="2" t="s">
        <v>7</v>
      </c>
    </row>
    <row r="6" customFormat="false" ht="19.5" hidden="false" customHeight="true" outlineLevel="0" collapsed="false">
      <c r="A6" s="16" t="s">
        <v>59</v>
      </c>
      <c r="B6" s="13" t="s">
        <v>60</v>
      </c>
      <c r="C6" s="42" t="n">
        <v>0.41</v>
      </c>
      <c r="D6" s="43" t="s">
        <v>61</v>
      </c>
      <c r="E6" s="13" t="s">
        <v>62</v>
      </c>
    </row>
    <row r="7" customFormat="false" ht="19.5" hidden="false" customHeight="true" outlineLevel="0" collapsed="false">
      <c r="A7" s="11" t="s">
        <v>63</v>
      </c>
      <c r="B7" s="8" t="s">
        <v>64</v>
      </c>
      <c r="C7" s="44" t="n">
        <v>0.25</v>
      </c>
      <c r="D7" s="45" t="s">
        <v>61</v>
      </c>
      <c r="E7" s="8" t="s">
        <v>65</v>
      </c>
    </row>
    <row r="8" customFormat="false" ht="19.5" hidden="false" customHeight="true" outlineLevel="0" collapsed="false">
      <c r="A8" s="16" t="s">
        <v>66</v>
      </c>
      <c r="B8" s="13" t="s">
        <v>67</v>
      </c>
      <c r="C8" s="42" t="n">
        <v>0.17</v>
      </c>
      <c r="D8" s="43" t="s">
        <v>61</v>
      </c>
      <c r="E8" s="13" t="s">
        <v>68</v>
      </c>
    </row>
    <row r="9" customFormat="false" ht="19.5" hidden="false" customHeight="true" outlineLevel="0" collapsed="false">
      <c r="A9" s="11" t="s">
        <v>69</v>
      </c>
      <c r="B9" s="8" t="s">
        <v>70</v>
      </c>
      <c r="C9" s="44" t="n">
        <v>0.11</v>
      </c>
      <c r="D9" s="45" t="s">
        <v>61</v>
      </c>
      <c r="E9" s="8" t="s">
        <v>71</v>
      </c>
    </row>
    <row r="10" customFormat="false" ht="19.5" hidden="false" customHeight="true" outlineLevel="0" collapsed="false">
      <c r="A10" s="16" t="s">
        <v>72</v>
      </c>
      <c r="B10" s="13" t="s">
        <v>73</v>
      </c>
      <c r="C10" s="42" t="n">
        <v>0.07</v>
      </c>
      <c r="D10" s="43" t="s">
        <v>61</v>
      </c>
      <c r="E10" s="13" t="s">
        <v>74</v>
      </c>
    </row>
    <row r="11" customFormat="false" ht="25.5" hidden="false" customHeight="true" outlineLevel="0" collapsed="false">
      <c r="A11" s="46" t="s">
        <v>75</v>
      </c>
      <c r="B11" s="47"/>
      <c r="C11" s="48" t="n">
        <f aca="false">SUM(C6:C10)</f>
        <v>1.01</v>
      </c>
      <c r="D11" s="47"/>
      <c r="E11" s="49" t="s">
        <v>76</v>
      </c>
    </row>
    <row r="13" customFormat="false" ht="15" hidden="false" customHeight="true" outlineLevel="0" collapsed="false">
      <c r="A13" s="50" t="s">
        <v>77</v>
      </c>
      <c r="B13" s="50"/>
      <c r="C13" s="50"/>
      <c r="D13" s="50"/>
      <c r="E13" s="50"/>
    </row>
  </sheetData>
  <mergeCells count="4">
    <mergeCell ref="A1:E1"/>
    <mergeCell ref="A2:E2"/>
    <mergeCell ref="A4:E4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8" min="4" style="0" width="14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22"/>
  </cols>
  <sheetData>
    <row r="1" customFormat="false" ht="31.5" hidden="false" customHeight="true" outlineLevel="0" collapsed="false">
      <c r="A1" s="51" t="s">
        <v>78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40" t="s">
        <v>79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31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80</v>
      </c>
      <c r="J3" s="2" t="s">
        <v>6</v>
      </c>
      <c r="K3" s="2" t="s">
        <v>81</v>
      </c>
    </row>
    <row r="4" customFormat="false" ht="21.75" hidden="false" customHeight="true" outlineLevel="0" collapsed="false">
      <c r="A4" s="17" t="n">
        <v>1</v>
      </c>
      <c r="B4" s="18" t="s">
        <v>13</v>
      </c>
      <c r="C4" s="52" t="s">
        <v>46</v>
      </c>
      <c r="D4" s="53" t="n">
        <v>3.96667</v>
      </c>
      <c r="E4" s="53" t="n">
        <v>3.53333</v>
      </c>
      <c r="F4" s="53" t="n">
        <v>3.16667</v>
      </c>
      <c r="G4" s="53" t="n">
        <v>3.6</v>
      </c>
      <c r="H4" s="53" t="n">
        <v>2.96667</v>
      </c>
      <c r="I4" s="20" t="n">
        <v>0.852685</v>
      </c>
      <c r="J4" s="17" t="n">
        <v>1</v>
      </c>
      <c r="K4" s="18" t="s">
        <v>82</v>
      </c>
    </row>
    <row r="5" customFormat="false" ht="21.75" hidden="false" customHeight="true" outlineLevel="0" collapsed="false">
      <c r="A5" s="54" t="n">
        <v>2</v>
      </c>
      <c r="B5" s="55" t="s">
        <v>8</v>
      </c>
      <c r="C5" s="56" t="s">
        <v>38</v>
      </c>
      <c r="D5" s="57" t="n">
        <v>3.7</v>
      </c>
      <c r="E5" s="57" t="n">
        <v>3.06667</v>
      </c>
      <c r="F5" s="57" t="n">
        <v>2.46667</v>
      </c>
      <c r="G5" s="57" t="n">
        <v>4.03333</v>
      </c>
      <c r="H5" s="57" t="n">
        <v>2.83333</v>
      </c>
      <c r="I5" s="58" t="n">
        <v>0.697769</v>
      </c>
      <c r="J5" s="54" t="n">
        <v>2</v>
      </c>
      <c r="K5" s="55" t="s">
        <v>83</v>
      </c>
    </row>
    <row r="6" customFormat="false" ht="21.75" hidden="false" customHeight="true" outlineLevel="0" collapsed="false">
      <c r="A6" s="16" t="n">
        <v>3</v>
      </c>
      <c r="B6" s="13" t="s">
        <v>12</v>
      </c>
      <c r="C6" s="13" t="s">
        <v>44</v>
      </c>
      <c r="D6" s="29" t="n">
        <v>3.16667</v>
      </c>
      <c r="E6" s="29" t="n">
        <v>3.63333</v>
      </c>
      <c r="F6" s="29" t="n">
        <v>3.23333</v>
      </c>
      <c r="G6" s="29" t="n">
        <v>2.06667</v>
      </c>
      <c r="H6" s="29" t="n">
        <v>3.6</v>
      </c>
      <c r="I6" s="15" t="n">
        <v>0.515241</v>
      </c>
      <c r="J6" s="16" t="n">
        <v>3</v>
      </c>
      <c r="K6" s="13" t="s">
        <v>84</v>
      </c>
    </row>
    <row r="7" customFormat="false" ht="21.75" hidden="false" customHeight="true" outlineLevel="0" collapsed="false">
      <c r="A7" s="11" t="n">
        <v>4</v>
      </c>
      <c r="B7" s="8" t="s">
        <v>10</v>
      </c>
      <c r="C7" s="8" t="s">
        <v>40</v>
      </c>
      <c r="D7" s="31" t="n">
        <v>2.2</v>
      </c>
      <c r="E7" s="31" t="n">
        <v>3.36667</v>
      </c>
      <c r="F7" s="31" t="n">
        <v>3.8</v>
      </c>
      <c r="G7" s="31" t="n">
        <v>2.26667</v>
      </c>
      <c r="H7" s="31" t="n">
        <v>3.83333</v>
      </c>
      <c r="I7" s="10" t="n">
        <v>0.241752</v>
      </c>
      <c r="J7" s="11" t="n">
        <v>4</v>
      </c>
      <c r="K7" s="8" t="s">
        <v>85</v>
      </c>
    </row>
    <row r="8" customFormat="false" ht="21.75" hidden="false" customHeight="true" outlineLevel="0" collapsed="false">
      <c r="A8" s="16" t="n">
        <v>5</v>
      </c>
      <c r="B8" s="13" t="s">
        <v>11</v>
      </c>
      <c r="C8" s="13" t="s">
        <v>42</v>
      </c>
      <c r="D8" s="29" t="n">
        <v>2.26667</v>
      </c>
      <c r="E8" s="29" t="n">
        <v>3.06667</v>
      </c>
      <c r="F8" s="29" t="n">
        <v>3.46667</v>
      </c>
      <c r="G8" s="29" t="n">
        <v>1.96667</v>
      </c>
      <c r="H8" s="29" t="n">
        <v>3.9</v>
      </c>
      <c r="I8" s="15" t="n">
        <v>0.192743</v>
      </c>
      <c r="J8" s="16" t="n">
        <v>5</v>
      </c>
      <c r="K8" s="13" t="s">
        <v>85</v>
      </c>
    </row>
    <row r="10" customFormat="false" ht="24" hidden="false" customHeight="true" outlineLevel="0" collapsed="false">
      <c r="A10" s="41" t="s">
        <v>86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</row>
    <row r="11" customFormat="false" ht="39" hidden="false" customHeight="true" outlineLevel="0" collapsed="false">
      <c r="A11" s="2" t="s">
        <v>87</v>
      </c>
      <c r="B11" s="2" t="n">
        <v>2.2</v>
      </c>
      <c r="C11" s="2" t="n">
        <v>3.96667</v>
      </c>
      <c r="D11" s="2" t="n">
        <v>3.06</v>
      </c>
      <c r="E11" s="2" t="s">
        <v>88</v>
      </c>
      <c r="F11" s="59" t="s">
        <v>13</v>
      </c>
      <c r="G11" s="59"/>
      <c r="H11" s="59"/>
      <c r="I11" s="59"/>
      <c r="J11" s="59"/>
      <c r="K11" s="59"/>
    </row>
    <row r="12" customFormat="false" ht="19.5" hidden="false" customHeight="true" outlineLevel="0" collapsed="false">
      <c r="A12" s="28" t="s">
        <v>89</v>
      </c>
      <c r="B12" s="29" t="n">
        <v>3.06667</v>
      </c>
      <c r="C12" s="29" t="n">
        <v>3.63333</v>
      </c>
      <c r="D12" s="29" t="n">
        <v>3.33333</v>
      </c>
      <c r="E12" s="12"/>
      <c r="F12" s="60" t="s">
        <v>12</v>
      </c>
      <c r="G12" s="60"/>
      <c r="H12" s="60"/>
      <c r="I12" s="60"/>
      <c r="J12" s="60"/>
      <c r="K12" s="60"/>
    </row>
    <row r="13" customFormat="false" ht="19.5" hidden="false" customHeight="true" outlineLevel="0" collapsed="false">
      <c r="A13" s="30" t="s">
        <v>90</v>
      </c>
      <c r="B13" s="31" t="n">
        <v>2.46667</v>
      </c>
      <c r="C13" s="31" t="n">
        <v>3.8</v>
      </c>
      <c r="D13" s="31" t="n">
        <v>3.22667</v>
      </c>
      <c r="E13" s="7"/>
      <c r="F13" s="60" t="s">
        <v>10</v>
      </c>
      <c r="G13" s="60"/>
      <c r="H13" s="60"/>
      <c r="I13" s="60"/>
      <c r="J13" s="60"/>
      <c r="K13" s="60"/>
    </row>
    <row r="14" customFormat="false" ht="19.5" hidden="false" customHeight="true" outlineLevel="0" collapsed="false">
      <c r="A14" s="28" t="s">
        <v>91</v>
      </c>
      <c r="B14" s="29" t="n">
        <v>1.96667</v>
      </c>
      <c r="C14" s="29" t="n">
        <v>4.03333</v>
      </c>
      <c r="D14" s="29" t="n">
        <v>2.78667</v>
      </c>
      <c r="E14" s="12"/>
      <c r="F14" s="60" t="s">
        <v>8</v>
      </c>
      <c r="G14" s="60"/>
      <c r="H14" s="60"/>
      <c r="I14" s="60"/>
      <c r="J14" s="60"/>
      <c r="K14" s="60"/>
    </row>
    <row r="15" customFormat="false" ht="19.5" hidden="false" customHeight="true" outlineLevel="0" collapsed="false">
      <c r="A15" s="30" t="s">
        <v>92</v>
      </c>
      <c r="B15" s="31" t="n">
        <v>2.83333</v>
      </c>
      <c r="C15" s="31" t="n">
        <v>3.9</v>
      </c>
      <c r="D15" s="31" t="n">
        <v>3.42667</v>
      </c>
      <c r="E15" s="7"/>
      <c r="F15" s="60" t="s">
        <v>11</v>
      </c>
      <c r="G15" s="60"/>
      <c r="H15" s="60"/>
      <c r="I15" s="60"/>
      <c r="J15" s="60"/>
      <c r="K15" s="60"/>
    </row>
    <row r="16" customFormat="false" ht="19.5" hidden="false" customHeight="true" outlineLevel="0" collapsed="false">
      <c r="A16" s="28" t="s">
        <v>92</v>
      </c>
      <c r="B16" s="29" t="n">
        <v>2.57143</v>
      </c>
      <c r="C16" s="29" t="n">
        <v>3.7619</v>
      </c>
      <c r="D16" s="29" t="n">
        <v>3.24762</v>
      </c>
      <c r="E16" s="12"/>
      <c r="F16" s="60" t="s">
        <v>10</v>
      </c>
      <c r="G16" s="60"/>
      <c r="H16" s="60"/>
      <c r="I16" s="60"/>
      <c r="J16" s="60"/>
      <c r="K16" s="60"/>
    </row>
    <row r="18" customFormat="false" ht="30" hidden="false" customHeight="true" outlineLevel="0" collapsed="false">
      <c r="A18" s="50" t="s">
        <v>93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</row>
  </sheetData>
  <mergeCells count="10">
    <mergeCell ref="A1:K1"/>
    <mergeCell ref="A2:K2"/>
    <mergeCell ref="A10:K10"/>
    <mergeCell ref="F11:K11"/>
    <mergeCell ref="F12:K12"/>
    <mergeCell ref="F13:K13"/>
    <mergeCell ref="F14:K14"/>
    <mergeCell ref="F15:K15"/>
    <mergeCell ref="F16:K16"/>
    <mergeCell ref="A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2026-05-24T12:26:24Z</dcterms:created>
  <dc:creator>openpyxl</dc:creator>
  <dc:description/>
  <dc:language>en-US</dc:language>
  <cp:lastModifiedBy>HP Pavilion</cp:lastModifiedBy>
  <dcterms:modified xsi:type="dcterms:W3CDTF">2026-06-06T07:28:09Z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